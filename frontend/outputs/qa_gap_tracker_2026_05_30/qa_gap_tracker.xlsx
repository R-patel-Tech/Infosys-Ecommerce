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ea73029c8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c40a1c7dd64284"/>
    <x:sheet xmlns:r="http://schemas.openxmlformats.org/officeDocument/2006/relationships" name="Gap Tracker" sheetId="2" r:id="R15d8cefe6bd542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i/>
      <x:sz val="11"/>
      <x:color rgb="FFD1FAE5"/>
      <x:name val="Carlito"/>
    </x:font>
    <x:font>
      <x:b/>
      <x:sz val="11"/>
      <x:name val="Carlito"/>
    </x:font>
    <x:font>
      <x:i/>
      <x:sz val="11"/>
      <x:color rgb="FF334155"/>
      <x:name val="Carlito"/>
    </x:font>
    <x:font>
      <x:b/>
      <x:i/>
      <x:sz val="11"/>
      <x:color rgb="FFDBEAFE"/>
      <x:name val="Carlito"/>
    </x:font>
    <x:font>
      <x:b/>
      <x:sz val="11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f4e7256fc4779" /><Relationship Type="http://schemas.openxmlformats.org/officeDocument/2006/relationships/theme" Target="/xl/theme/theme1.xml" Id="Rb190258502cf46c1" /><Relationship Type="http://schemas.openxmlformats.org/officeDocument/2006/relationships/sharedStrings" Target="/xl/sharedStrings.xml" Id="R1a87d288a93b4ef9" /><Relationship Type="http://schemas.openxmlformats.org/officeDocument/2006/relationships/worksheet" Target="/xl/worksheets/sheet1.xml" Id="R4dc40a1c7dd64284" /><Relationship Type="http://schemas.openxmlformats.org/officeDocument/2006/relationships/worksheet" Target="/xl/worksheets/sheet2.xml" Id="R15d8cefe6bd542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634de1f5ec14d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Issues by Severity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'Summary'!$A$13:$A$16</c:f>
              <c:strCache>
                <c:ptCount val="0"/>
              </c:strCache>
            </c:strRef>
          </c:cat>
          <c:val>
            <c:numRef>
              <c:f>'Summary'!$B$13:$B$16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34de1f5ec14d3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apTrackerTable" displayName="GapTrackerTable" ref="A4:H42" headerRowCount="1">
  <x:autoFilter ref="A4:H42"/>
  <x:tableColumns count="8">
    <x:tableColumn id="1" name="Module Name"/>
    <x:tableColumn id="2" name="Gap / Issue Description"/>
    <x:tableColumn id="3" name="Recommendation"/>
    <x:tableColumn id="4" name="Severity"/>
    <x:tableColumn id="5" name="Priority"/>
    <x:tableColumn id="6" name="Owner"/>
    <x:tableColumn id="7" name="Target Release"/>
    <x:tableColumn id="8" name="Remediation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b9b597ad0245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ee4f4445f44e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4" max="4" width="17.5" hidden="0" customWidth="1"/>
    <x:col min="5" max="5" width="17.5" hidden="0" customWidth="1"/>
  </x:cols>
  <x:sheetData>
    <x:row r="1" ht="25.5" customHeight="1">
      <x:c r="A1" s="4" t="str">
        <x:v>Ecommerce QA Gap Tracker Summary</x:v>
      </x:c>
      <x:c r="B1" s="3"/>
      <x:c r="C1" s="3"/>
      <x:c r="D1" s="3"/>
      <x:c r="E1" s="3"/>
      <x:c r="F1" s="3"/>
    </x:row>
    <x:row r="2" ht="16.5" customHeight="1">
      <x:c r="A2" s="5" t="str">
        <x:v>Source: QA review on May 30, 2026</x:v>
      </x:c>
      <x:c r="B2" s="3"/>
      <x:c r="C2" s="3"/>
      <x:c r="D2" s="3"/>
      <x:c r="E2" s="3"/>
      <x:c r="F2" s="3"/>
    </x:row>
    <x:row r="4">
      <x:c r="A4" s="8" t="str">
        <x:v>Metric</x:v>
      </x:c>
      <x:c r="B4" s="8" t="str">
        <x:v>Value</x:v>
      </x:c>
      <x:c r="D4" s="8" t="str">
        <x:v>Severity</x:v>
      </x:c>
      <x:c r="E4" s="8" t="str">
        <x:v>Count</x:v>
      </x:c>
    </x:row>
    <x:row r="5">
      <x:c r="A5" s="6" t="str">
        <x:v>Total issues</x:v>
      </x:c>
      <x:c r="B5" s="6" t="n">
        <x:f>COUNTA('Gap Tracker'!$A$5:$A$42)</x:f>
        <x:v>38</x:v>
      </x:c>
      <x:c r="D5" s="6" t="str">
        <x:v>Critical</x:v>
      </x:c>
      <x:c r="E5" s="6" t="n">
        <x:f>COUNTIF('Gap Tracker'!$D$5:$D$42,"Critical")</x:f>
        <x:v>4</x:v>
      </x:c>
    </x:row>
    <x:row r="6">
      <x:c r="A6" s="6" t="str">
        <x:v>Critical</x:v>
      </x:c>
      <x:c r="B6" s="6" t="n">
        <x:f>COUNTIF('Gap Tracker'!$D$5:$D$42,"Critical")</x:f>
        <x:v>4</x:v>
      </x:c>
      <x:c r="D6" s="6" t="str">
        <x:v>High</x:v>
      </x:c>
      <x:c r="E6" s="6" t="n">
        <x:f>COUNTIF('Gap Tracker'!$D$5:$D$42,"High")</x:f>
        <x:v>16</x:v>
      </x:c>
    </x:row>
    <x:row r="7">
      <x:c r="A7" s="6" t="str">
        <x:v>High</x:v>
      </x:c>
      <x:c r="B7" s="6" t="n">
        <x:f>COUNTIF('Gap Tracker'!$D$5:$D$42,"High")</x:f>
        <x:v>16</x:v>
      </x:c>
      <x:c r="D7" s="6" t="str">
        <x:v>Medium</x:v>
      </x:c>
      <x:c r="E7" s="6" t="n">
        <x:f>COUNTIF('Gap Tracker'!$D$5:$D$42,"Medium")</x:f>
        <x:v>16</x:v>
      </x:c>
    </x:row>
    <x:row r="8">
      <x:c r="A8" s="6" t="str">
        <x:v>Open</x:v>
      </x:c>
      <x:c r="B8" s="6" t="n">
        <x:f>COUNTIF('Gap Tracker'!$H$5:$H$42,"Open")</x:f>
        <x:v>38</x:v>
      </x:c>
      <x:c r="D8" s="6" t="str">
        <x:v>Low</x:v>
      </x:c>
      <x:c r="E8" s="6" t="n">
        <x:f>COUNTIF('Gap Tracker'!$D$5:$D$42,"Low")</x:f>
        <x:v>2</x:v>
      </x:c>
    </x:row>
    <x:row r="11" ht="31.5" customHeight="1">
      <x:c r="A11" s="13" t="str">
        <x:v>Critical and High issues should be handled in R1 or hotfix; Medium issues in R2; Low issues in R3.</x:v>
      </x:c>
      <x:c r="B11" s="13"/>
      <x:c r="C11" s="13"/>
      <x:c r="D11" s="13"/>
      <x:c r="E11" s="13"/>
    </x:row>
    <x:row r="12">
      <x:c r="A12" s="10" t="str">
        <x:v>Severity</x:v>
      </x:c>
      <x:c r="B12" s="10" t="str">
        <x:v>Count</x:v>
      </x:c>
    </x:row>
    <x:row r="13">
      <x:c r="A13" t="str">
        <x:v>Critical</x:v>
      </x:c>
      <x:c r="B13" t="n">
        <x:f>COUNTIF('Gap Tracker'!$D$5:$D$42,"Critical")</x:f>
        <x:v>4</x:v>
      </x:c>
    </x:row>
    <x:row r="14">
      <x:c r="A14" t="str">
        <x:v>High</x:v>
      </x:c>
      <x:c r="B14" t="n">
        <x:f>COUNTIF('Gap Tracker'!$D$5:$D$42,"High")</x:f>
        <x:v>16</x:v>
      </x:c>
    </x:row>
    <x:row r="15">
      <x:c r="A15" t="str">
        <x:v>Medium</x:v>
      </x:c>
      <x:c r="B15" t="n">
        <x:f>COUNTIF('Gap Tracker'!$D$5:$D$42,"Medium")</x:f>
        <x:v>16</x:v>
      </x:c>
    </x:row>
    <x:row r="16">
      <x:c r="A16" t="str">
        <x:v>Low</x:v>
      </x:c>
      <x:c r="B16" t="n">
        <x:f>COUNTIF('Gap Tracker'!$D$5:$D$42,"Low")</x:f>
        <x:v>2</x:v>
      </x:c>
    </x:row>
  </x:sheetData>
  <x:mergeCells>
    <x:mergeCell ref="A1:F1"/>
    <x:mergeCell ref="A2:F2"/>
    <x:mergeCell ref="A11:E11"/>
  </x:mergeCells>
  <x:pageMargins left="0.7" right="0.7" top="0.75" bottom="0.75" header="0.3" footer="0.3"/>
  <x:drawing xmlns:r="http://schemas.openxmlformats.org/officeDocument/2006/relationships" r:id="R4bb9b597ad02459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41.25" hidden="0" customWidth="1"/>
    <x:col min="3" max="3" width="40" hidden="0" customWidth="1"/>
    <x:col min="4" max="4" width="13.75" hidden="0" customWidth="1"/>
    <x:col min="5" max="5" width="11.25" hidden="0" customWidth="1"/>
    <x:col min="6" max="6" width="21.25" hidden="0" customWidth="1"/>
    <x:col min="7" max="7" width="15" hidden="0" customWidth="1"/>
    <x:col min="8" max="8" width="18.75" hidden="0" customWidth="1"/>
  </x:cols>
  <x:sheetData>
    <x:row r="1" ht="25.5" hidden="0" customHeight="1">
      <x:c r="A1" s="17" t="str">
        <x:v>Ecommerce QA Gap Tracker</x:v>
      </x:c>
      <x:c r="B1" s="16"/>
      <x:c r="C1" s="16"/>
      <x:c r="D1" s="16"/>
      <x:c r="E1" s="16"/>
      <x:c r="F1" s="16"/>
      <x:c r="G1" s="16"/>
      <x:c r="H1" s="16"/>
    </x:row>
    <x:row r="2" ht="16.5" hidden="0" customHeight="1">
      <x:c r="A2" s="18" t="str">
        <x:v>One row per identified production gap. Owner, target release, and remediation status are editable tracking fields.</x:v>
      </x:c>
      <x:c r="B2" s="16"/>
      <x:c r="C2" s="16"/>
      <x:c r="D2" s="16"/>
      <x:c r="E2" s="16"/>
      <x:c r="F2" s="16"/>
      <x:c r="G2" s="16"/>
      <x:c r="H2" s="16"/>
    </x:row>
    <x:row r="3" ht="6" customHeight="1"/>
    <x:row r="4" ht="22.5" customHeight="1">
      <x:c r="A4" s="20" t="str">
        <x:v>Module Name</x:v>
      </x:c>
      <x:c r="B4" s="20" t="str">
        <x:v>Gap / Issue Description</x:v>
      </x:c>
      <x:c r="C4" s="20" t="str">
        <x:v>Recommendation</x:v>
      </x:c>
      <x:c r="D4" s="20" t="str">
        <x:v>Severity</x:v>
      </x:c>
      <x:c r="E4" s="20" t="str">
        <x:v>Priority</x:v>
      </x:c>
      <x:c r="F4" s="20" t="str">
        <x:v>Owner</x:v>
      </x:c>
      <x:c r="G4" s="20" t="str">
        <x:v>Target Release</x:v>
      </x:c>
      <x:c r="H4" s="20" t="str">
        <x:v>Remediation Status</x:v>
      </x:c>
    </x:row>
    <x:row r="5" ht="39" customHeight="1">
      <x:c r="A5" s="6" t="str">
        <x:v>Authentication</x:v>
      </x:c>
      <x:c r="B5" s="6" t="str">
        <x:v>Remember Me functionality is missing on the login flow, so users cannot control session persistence.</x:v>
      </x:c>
      <x:c r="C5" s="6" t="str">
        <x:v>Add a Remember Me option and persist session duration accordingly.</x:v>
      </x:c>
      <x:c r="D5" s="6" t="str">
        <x:v>Medium</x:v>
      </x:c>
      <x:c r="E5" s="6" t="str">
        <x:v>P2</x:v>
      </x:c>
      <x:c r="F5" s="6" t="str">
        <x:v>Frontend + Backend</x:v>
      </x:c>
      <x:c r="G5" s="6" t="str">
        <x:v>R2</x:v>
      </x:c>
      <x:c r="H5" s="6" t="str">
        <x:v>Open</x:v>
      </x:c>
    </x:row>
    <x:row r="6" ht="39" customHeight="1">
      <x:c r="A6" s="6" t="str">
        <x:v>Authentication</x:v>
      </x:c>
      <x:c r="B6" s="6" t="str">
        <x:v>Forgot password / password reset flow is not available to end users.</x:v>
      </x:c>
      <x:c r="C6" s="6" t="str">
        <x:v>Add a secure password reset flow with email or OTP verification and reset token expiry.</x:v>
      </x:c>
      <x:c r="D6" s="6" t="str">
        <x:v>High</x:v>
      </x:c>
      <x:c r="E6" s="6" t="str">
        <x:v>P1</x:v>
      </x:c>
      <x:c r="F6" s="6" t="str">
        <x:v>Backend + Security</x:v>
      </x:c>
      <x:c r="G6" s="6" t="str">
        <x:v>R1</x:v>
      </x:c>
      <x:c r="H6" s="6" t="str">
        <x:v>Open</x:v>
      </x:c>
    </x:row>
    <x:row r="7" ht="39" customHeight="1">
      <x:c r="A7" s="6" t="str">
        <x:v>Authentication</x:v>
      </x:c>
      <x:c r="B7" s="6" t="str">
        <x:v>Email verification during registration is missing.</x:v>
      </x:c>
      <x:c r="C7" s="6" t="str">
        <x:v>Require email verification before enabling full account access.</x:v>
      </x:c>
      <x:c r="D7" s="6" t="str">
        <x:v>High</x:v>
      </x:c>
      <x:c r="E7" s="6" t="str">
        <x:v>P1</x:v>
      </x:c>
      <x:c r="F7" s="6" t="str">
        <x:v>Backend + Security</x:v>
      </x:c>
      <x:c r="G7" s="6" t="str">
        <x:v>R1</x:v>
      </x:c>
      <x:c r="H7" s="6" t="str">
        <x:v>Open</x:v>
      </x:c>
    </x:row>
    <x:row r="8" ht="39" customHeight="1">
      <x:c r="A8" s="6" t="str">
        <x:v>Authentication</x:v>
      </x:c>
      <x:c r="B8" s="6" t="str">
        <x:v>OTP verification flow is missing for user recovery and login hardening.</x:v>
      </x:c>
      <x:c r="C8" s="6" t="str">
        <x:v>Implement OTP verification for password reset and account verification journeys.</x:v>
      </x:c>
      <x:c r="D8" s="6" t="str">
        <x:v>High</x:v>
      </x:c>
      <x:c r="E8" s="6" t="str">
        <x:v>P1</x:v>
      </x:c>
      <x:c r="F8" s="6" t="str">
        <x:v>Backend + Security</x:v>
      </x:c>
      <x:c r="G8" s="6" t="str">
        <x:v>R1</x:v>
      </x:c>
      <x:c r="H8" s="6" t="str">
        <x:v>Open</x:v>
      </x:c>
    </x:row>
    <x:row r="9" ht="39" customHeight="1">
      <x:c r="A9" s="6" t="str">
        <x:v>Authentication</x:v>
      </x:c>
      <x:c r="B9" s="6" t="str">
        <x:v>Brute-force protection and login rate limiting are not visible in the current flow.</x:v>
      </x:c>
      <x:c r="C9" s="6" t="str">
        <x:v>Add login throttling, CAPTCHA after repeated failures, and temporary lockout policy.</x:v>
      </x:c>
      <x:c r="D9" s="6" t="str">
        <x:v>Critical</x:v>
      </x:c>
      <x:c r="E9" s="6" t="str">
        <x:v>P0</x:v>
      </x:c>
      <x:c r="F9" s="6" t="str">
        <x:v>Backend + Security</x:v>
      </x:c>
      <x:c r="G9" s="6" t="str">
        <x:v>R1 - Hotfix</x:v>
      </x:c>
      <x:c r="H9" s="6" t="str">
        <x:v>Open</x:v>
      </x:c>
    </x:row>
    <x:row r="10" ht="39" customHeight="1">
      <x:c r="A10" s="6" t="str">
        <x:v>Authentication / Security</x:v>
      </x:c>
      <x:c r="B10" s="6" t="str">
        <x:v>Auth token storage in web storage keeps the session exposed to XSS risk.</x:v>
      </x:c>
      <x:c r="C10" s="6" t="str">
        <x:v>Move to secure httpOnly cookie storage or a stronger server-managed session strategy.</x:v>
      </x:c>
      <x:c r="D10" s="6" t="str">
        <x:v>Critical</x:v>
      </x:c>
      <x:c r="E10" s="6" t="str">
        <x:v>P0</x:v>
      </x:c>
      <x:c r="F10" s="6" t="str">
        <x:v>Security + Backend</x:v>
      </x:c>
      <x:c r="G10" s="6" t="str">
        <x:v>R1 - Hotfix</x:v>
      </x:c>
      <x:c r="H10" s="6" t="str">
        <x:v>Open</x:v>
      </x:c>
    </x:row>
    <x:row r="11" ht="39" customHeight="1">
      <x:c r="A11" s="6" t="str">
        <x:v>User Profile</x:v>
      </x:c>
      <x:c r="B11" s="6" t="str">
        <x:v>Profile image upload and crop functionality is missing.</x:v>
      </x:c>
      <x:c r="C11" s="6" t="str">
        <x:v>Add image upload, crop/preview, file validation, and save flow.</x:v>
      </x:c>
      <x:c r="D11" s="6" t="str">
        <x:v>Medium</x:v>
      </x:c>
      <x:c r="E11" s="6" t="str">
        <x:v>P2</x:v>
      </x:c>
      <x:c r="F11" s="6" t="str">
        <x:v>Frontend</x:v>
      </x:c>
      <x:c r="G11" s="6" t="str">
        <x:v>R2</x:v>
      </x:c>
      <x:c r="H11" s="6" t="str">
        <x:v>Open</x:v>
      </x:c>
    </x:row>
    <x:row r="12" ht="39" customHeight="1">
      <x:c r="A12" s="6" t="str">
        <x:v>User Profile</x:v>
      </x:c>
      <x:c r="B12" s="6" t="str">
        <x:v>Multiple saved addresses are not supported; the profile only exposes a single address field.</x:v>
      </x:c>
      <x:c r="C12" s="6" t="str">
        <x:v>Implement address book support with add, edit, delete, and default address selection.</x:v>
      </x:c>
      <x:c r="D12" s="6" t="str">
        <x:v>High</x:v>
      </x:c>
      <x:c r="E12" s="6" t="str">
        <x:v>P1</x:v>
      </x:c>
      <x:c r="F12" s="6" t="str">
        <x:v>Frontend + Backend</x:v>
      </x:c>
      <x:c r="G12" s="6" t="str">
        <x:v>R1</x:v>
      </x:c>
      <x:c r="H12" s="6" t="str">
        <x:v>Open</x:v>
      </x:c>
    </x:row>
    <x:row r="13" ht="39" customHeight="1">
      <x:c r="A13" s="6" t="str">
        <x:v>User Profile</x:v>
      </x:c>
      <x:c r="B13" s="6" t="str">
        <x:v>Password visibility toggles are missing in the change-password form.</x:v>
      </x:c>
      <x:c r="C13" s="6" t="str">
        <x:v>Add show/hide controls for old, new, and confirm password inputs.</x:v>
      </x:c>
      <x:c r="D13" s="6" t="str">
        <x:v>Low</x:v>
      </x:c>
      <x:c r="E13" s="6" t="str">
        <x:v>P3</x:v>
      </x:c>
      <x:c r="F13" s="6" t="str">
        <x:v>Frontend</x:v>
      </x:c>
      <x:c r="G13" s="6" t="str">
        <x:v>R3</x:v>
      </x:c>
      <x:c r="H13" s="6" t="str">
        <x:v>Open</x:v>
      </x:c>
    </x:row>
    <x:row r="14" ht="39" customHeight="1">
      <x:c r="A14" s="6" t="str">
        <x:v>User Profile</x:v>
      </x:c>
      <x:c r="B14" s="6" t="str">
        <x:v>Sensitive changes such as email or phone updates do not require re-verification.</x:v>
      </x:c>
      <x:c r="C14" s="6" t="str">
        <x:v>Require OTP or email confirmation for sensitive profile updates.</x:v>
      </x:c>
      <x:c r="D14" s="6" t="str">
        <x:v>Medium</x:v>
      </x:c>
      <x:c r="E14" s="6" t="str">
        <x:v>P2</x:v>
      </x:c>
      <x:c r="F14" s="6" t="str">
        <x:v>Backend + Security</x:v>
      </x:c>
      <x:c r="G14" s="6" t="str">
        <x:v>R2</x:v>
      </x:c>
      <x:c r="H14" s="6" t="str">
        <x:v>Open</x:v>
      </x:c>
    </x:row>
    <x:row r="15" ht="39" customHeight="1">
      <x:c r="A15" s="6" t="str">
        <x:v>Home Page</x:v>
      </x:c>
      <x:c r="B15" s="6" t="str">
        <x:v>Promotional banner carousel / campaign slots are missing.</x:v>
      </x:c>
      <x:c r="C15" s="6" t="str">
        <x:v>Add banner cards or a hero carousel for promotions and merchandising.</x:v>
      </x:c>
      <x:c r="D15" s="6" t="str">
        <x:v>Medium</x:v>
      </x:c>
      <x:c r="E15" s="6" t="str">
        <x:v>P2</x:v>
      </x:c>
      <x:c r="F15" s="6" t="str">
        <x:v>Frontend + Design</x:v>
      </x:c>
      <x:c r="G15" s="6" t="str">
        <x:v>R2</x:v>
      </x:c>
      <x:c r="H15" s="6" t="str">
        <x:v>Open</x:v>
      </x:c>
    </x:row>
    <x:row r="16" ht="39" customHeight="1">
      <x:c r="A16" s="6" t="str">
        <x:v>Home Page</x:v>
      </x:c>
      <x:c r="B16" s="6" t="str">
        <x:v>Featured categories and curated merchandising blocks are limited.</x:v>
      </x:c>
      <x:c r="C16" s="6" t="str">
        <x:v>Add distinct category tiles and curated product sections on the landing experience.</x:v>
      </x:c>
      <x:c r="D16" s="6" t="str">
        <x:v>Medium</x:v>
      </x:c>
      <x:c r="E16" s="6" t="str">
        <x:v>P2</x:v>
      </x:c>
      <x:c r="F16" s="6" t="str">
        <x:v>Frontend + Product</x:v>
      </x:c>
      <x:c r="G16" s="6" t="str">
        <x:v>R2</x:v>
      </x:c>
      <x:c r="H16" s="6" t="str">
        <x:v>Open</x:v>
      </x:c>
    </x:row>
    <x:row r="17" ht="39" customHeight="1">
      <x:c r="A17" s="6" t="str">
        <x:v>Product Listing</x:v>
      </x:c>
      <x:c r="B17" s="6" t="str">
        <x:v>Product sorting options are missing.</x:v>
      </x:c>
      <x:c r="C17" s="6" t="str">
        <x:v>Add sort controls for price, newest, popularity, and rating.</x:v>
      </x:c>
      <x:c r="D17" s="6" t="str">
        <x:v>High</x:v>
      </x:c>
      <x:c r="E17" s="6" t="str">
        <x:v>P1</x:v>
      </x:c>
      <x:c r="F17" s="6" t="str">
        <x:v>Frontend</x:v>
      </x:c>
      <x:c r="G17" s="6" t="str">
        <x:v>R1</x:v>
      </x:c>
      <x:c r="H17" s="6" t="str">
        <x:v>Open</x:v>
      </x:c>
    </x:row>
    <x:row r="18" ht="39" customHeight="1">
      <x:c r="A18" s="6" t="str">
        <x:v>Product Listing</x:v>
      </x:c>
      <x:c r="B18" s="6" t="str">
        <x:v>Pagination or infinite scroll is missing for larger catalogs.</x:v>
      </x:c>
      <x:c r="C18" s="6" t="str">
        <x:v>Add paginated loading or virtualized infinite scrolling for scalability.</x:v>
      </x:c>
      <x:c r="D18" s="6" t="str">
        <x:v>High</x:v>
      </x:c>
      <x:c r="E18" s="6" t="str">
        <x:v>P1</x:v>
      </x:c>
      <x:c r="F18" s="6" t="str">
        <x:v>Frontend + Backend</x:v>
      </x:c>
      <x:c r="G18" s="6" t="str">
        <x:v>R1</x:v>
      </x:c>
      <x:c r="H18" s="6" t="str">
        <x:v>Open</x:v>
      </x:c>
    </x:row>
    <x:row r="19" ht="39" customHeight="1">
      <x:c r="A19" s="6" t="str">
        <x:v>Search &amp; Filters</x:v>
      </x:c>
      <x:c r="B19" s="6" t="str">
        <x:v>Filter state is not persisted in the URL, so searches are not shareable or bookmarkable.</x:v>
      </x:c>
      <x:c r="C19" s="6" t="str">
        <x:v>Persist filters in the query string and restore them on page load.</x:v>
      </x:c>
      <x:c r="D19" s="6" t="str">
        <x:v>Medium</x:v>
      </x:c>
      <x:c r="E19" s="6" t="str">
        <x:v>P2</x:v>
      </x:c>
      <x:c r="F19" s="6" t="str">
        <x:v>Frontend</x:v>
      </x:c>
      <x:c r="G19" s="6" t="str">
        <x:v>R2</x:v>
      </x:c>
      <x:c r="H19" s="6" t="str">
        <x:v>Open</x:v>
      </x:c>
    </x:row>
    <x:row r="20" ht="39" customHeight="1">
      <x:c r="A20" s="6" t="str">
        <x:v>Search &amp; Filters</x:v>
      </x:c>
      <x:c r="B20" s="6" t="str">
        <x:v>Advanced filtering is missing, including price range, brand, and rating filters.</x:v>
      </x:c>
      <x:c r="C20" s="6" t="str">
        <x:v>Add advanced filter chips and range controls to improve product discovery.</x:v>
      </x:c>
      <x:c r="D20" s="6" t="str">
        <x:v>High</x:v>
      </x:c>
      <x:c r="E20" s="6" t="str">
        <x:v>P1</x:v>
      </x:c>
      <x:c r="F20" s="6" t="str">
        <x:v>Frontend + Product</x:v>
      </x:c>
      <x:c r="G20" s="6" t="str">
        <x:v>R1</x:v>
      </x:c>
      <x:c r="H20" s="6" t="str">
        <x:v>Open</x:v>
      </x:c>
    </x:row>
    <x:row r="21" ht="39" customHeight="1">
      <x:c r="A21" s="6" t="str">
        <x:v>Search &amp; Filters</x:v>
      </x:c>
      <x:c r="B21" s="6" t="str">
        <x:v>Search is not debounced / live-search optimized for fast typing.</x:v>
      </x:c>
      <x:c r="C21" s="6" t="str">
        <x:v>Add debounce and loading feedback for live search input.</x:v>
      </x:c>
      <x:c r="D21" s="6" t="str">
        <x:v>Low</x:v>
      </x:c>
      <x:c r="E21" s="6" t="str">
        <x:v>P3</x:v>
      </x:c>
      <x:c r="F21" s="6" t="str">
        <x:v>Frontend</x:v>
      </x:c>
      <x:c r="G21" s="6" t="str">
        <x:v>R3</x:v>
      </x:c>
      <x:c r="H21" s="6" t="str">
        <x:v>Open</x:v>
      </x:c>
    </x:row>
    <x:row r="22" ht="39" customHeight="1">
      <x:c r="A22" s="6" t="str">
        <x:v>Product Details</x:v>
      </x:c>
      <x:c r="B22" s="6" t="str">
        <x:v>Product review and rating system is missing.</x:v>
      </x:c>
      <x:c r="C22" s="6" t="str">
        <x:v>Add product ratings, review submission, and moderation controls.</x:v>
      </x:c>
      <x:c r="D22" s="6" t="str">
        <x:v>High</x:v>
      </x:c>
      <x:c r="E22" s="6" t="str">
        <x:v>P1</x:v>
      </x:c>
      <x:c r="F22" s="6" t="str">
        <x:v>Frontend + Backend</x:v>
      </x:c>
      <x:c r="G22" s="6" t="str">
        <x:v>R1</x:v>
      </x:c>
      <x:c r="H22" s="6" t="str">
        <x:v>Open</x:v>
      </x:c>
    </x:row>
    <x:row r="23" ht="39" customHeight="1">
      <x:c r="A23" s="6" t="str">
        <x:v>Product Details</x:v>
      </x:c>
      <x:c r="B23" s="6" t="str">
        <x:v>Image gallery, zoom, and related-product recommendations are missing.</x:v>
      </x:c>
      <x:c r="C23" s="6" t="str">
        <x:v>Add multi-image gallery, zoom interactions, and related items.</x:v>
      </x:c>
      <x:c r="D23" s="6" t="str">
        <x:v>Medium</x:v>
      </x:c>
      <x:c r="E23" s="6" t="str">
        <x:v>P2</x:v>
      </x:c>
      <x:c r="F23" s="6" t="str">
        <x:v>Frontend</x:v>
      </x:c>
      <x:c r="G23" s="6" t="str">
        <x:v>R2</x:v>
      </x:c>
      <x:c r="H23" s="6" t="str">
        <x:v>Open</x:v>
      </x:c>
    </x:row>
    <x:row r="24" ht="39" customHeight="1">
      <x:c r="A24" s="6" t="str">
        <x:v>Cart</x:v>
      </x:c>
      <x:c r="B24" s="6" t="str">
        <x:v>Coupon / promo code functionality is missing.</x:v>
      </x:c>
      <x:c r="C24" s="6" t="str">
        <x:v>Add coupon entry, validation, discount calculation, and error feedback.</x:v>
      </x:c>
      <x:c r="D24" s="6" t="str">
        <x:v>High</x:v>
      </x:c>
      <x:c r="E24" s="6" t="str">
        <x:v>P1</x:v>
      </x:c>
      <x:c r="F24" s="6" t="str">
        <x:v>Frontend + Backend</x:v>
      </x:c>
      <x:c r="G24" s="6" t="str">
        <x:v>R1</x:v>
      </x:c>
      <x:c r="H24" s="6" t="str">
        <x:v>Open</x:v>
      </x:c>
    </x:row>
    <x:row r="25" ht="39" customHeight="1">
      <x:c r="A25" s="6" t="str">
        <x:v>Cart</x:v>
      </x:c>
      <x:c r="B25" s="6" t="str">
        <x:v>Save for later / move-to-wishlist behavior is missing.</x:v>
      </x:c>
      <x:c r="C25" s="6" t="str">
        <x:v>Add a save-for-later action that moves selected items to wishlist storage.</x:v>
      </x:c>
      <x:c r="D25" s="6" t="str">
        <x:v>Medium</x:v>
      </x:c>
      <x:c r="E25" s="6" t="str">
        <x:v>P2</x:v>
      </x:c>
      <x:c r="F25" s="6" t="str">
        <x:v>Frontend + Backend</x:v>
      </x:c>
      <x:c r="G25" s="6" t="str">
        <x:v>R2</x:v>
      </x:c>
      <x:c r="H25" s="6" t="str">
        <x:v>Open</x:v>
      </x:c>
    </x:row>
    <x:row r="26" ht="39" customHeight="1">
      <x:c r="A26" s="6" t="str">
        <x:v>Cart</x:v>
      </x:c>
      <x:c r="B26" s="6" t="str">
        <x:v>Shipping and tax breakdown is not visible in the cart summary.</x:v>
      </x:c>
      <x:c r="C26" s="6" t="str">
        <x:v>Show estimated shipping, tax, and grand total before checkout.</x:v>
      </x:c>
      <x:c r="D26" s="6" t="str">
        <x:v>Medium</x:v>
      </x:c>
      <x:c r="E26" s="6" t="str">
        <x:v>P2</x:v>
      </x:c>
      <x:c r="F26" s="6" t="str">
        <x:v>Frontend + Backend</x:v>
      </x:c>
      <x:c r="G26" s="6" t="str">
        <x:v>R2</x:v>
      </x:c>
      <x:c r="H26" s="6" t="str">
        <x:v>Open</x:v>
      </x:c>
    </x:row>
    <x:row r="27" ht="39" customHeight="1">
      <x:c r="A27" s="6" t="str">
        <x:v>Wishlist</x:v>
      </x:c>
      <x:c r="B27" s="6" t="str">
        <x:v>Wishlist module is missing entirely.</x:v>
      </x:c>
      <x:c r="C27" s="6" t="str">
        <x:v>Implement wishlist storage, wishlist page, and move-to-cart actions.</x:v>
      </x:c>
      <x:c r="D27" s="6" t="str">
        <x:v>High</x:v>
      </x:c>
      <x:c r="E27" s="6" t="str">
        <x:v>P1</x:v>
      </x:c>
      <x:c r="F27" s="6" t="str">
        <x:v>Frontend + Backend</x:v>
      </x:c>
      <x:c r="G27" s="6" t="str">
        <x:v>R1</x:v>
      </x:c>
      <x:c r="H27" s="6" t="str">
        <x:v>Open</x:v>
      </x:c>
    </x:row>
    <x:row r="28" ht="39" customHeight="1">
      <x:c r="A28" s="6" t="str">
        <x:v>Checkout</x:v>
      </x:c>
      <x:c r="B28" s="6" t="str">
        <x:v>Saved address selection / address book integration is missing.</x:v>
      </x:c>
      <x:c r="C28" s="6" t="str">
        <x:v>Allow users to select from saved addresses and persist the chosen shipping address.</x:v>
      </x:c>
      <x:c r="D28" s="6" t="str">
        <x:v>High</x:v>
      </x:c>
      <x:c r="E28" s="6" t="str">
        <x:v>P1</x:v>
      </x:c>
      <x:c r="F28" s="6" t="str">
        <x:v>Frontend + Backend</x:v>
      </x:c>
      <x:c r="G28" s="6" t="str">
        <x:v>R1</x:v>
      </x:c>
      <x:c r="H28" s="6" t="str">
        <x:v>Open</x:v>
      </x:c>
    </x:row>
    <x:row r="29" ht="39" customHeight="1">
      <x:c r="A29" s="6" t="str">
        <x:v>Checkout</x:v>
      </x:c>
      <x:c r="B29" s="6" t="str">
        <x:v>Order review and edit step before final submission is missing.</x:v>
      </x:c>
      <x:c r="C29" s="6" t="str">
        <x:v>Add a final review screen so users can confirm or edit shipping and payment details.</x:v>
      </x:c>
      <x:c r="D29" s="6" t="str">
        <x:v>Medium</x:v>
      </x:c>
      <x:c r="E29" s="6" t="str">
        <x:v>P2</x:v>
      </x:c>
      <x:c r="F29" s="6" t="str">
        <x:v>Frontend</x:v>
      </x:c>
      <x:c r="G29" s="6" t="str">
        <x:v>R2</x:v>
      </x:c>
      <x:c r="H29" s="6" t="str">
        <x:v>Open</x:v>
      </x:c>
    </x:row>
    <x:row r="30" ht="39" customHeight="1">
      <x:c r="A30" s="6" t="str">
        <x:v>Payment</x:v>
      </x:c>
      <x:c r="B30" s="6" t="str">
        <x:v>Demo / fallback payment mode is not visibly gated for non-development usage.</x:v>
      </x:c>
      <x:c r="C30" s="6" t="str">
        <x:v>Restrict demo payment fallback to development or feature-flagged environments only.</x:v>
      </x:c>
      <x:c r="D30" s="6" t="str">
        <x:v>Critical</x:v>
      </x:c>
      <x:c r="E30" s="6" t="str">
        <x:v>P0</x:v>
      </x:c>
      <x:c r="F30" s="6" t="str">
        <x:v>Backend + Security</x:v>
      </x:c>
      <x:c r="G30" s="6" t="str">
        <x:v>R1 - Hotfix</x:v>
      </x:c>
      <x:c r="H30" s="6" t="str">
        <x:v>Open</x:v>
      </x:c>
    </x:row>
    <x:row r="31" ht="39" customHeight="1">
      <x:c r="A31" s="6" t="str">
        <x:v>Payment</x:v>
      </x:c>
      <x:c r="B31" s="6" t="str">
        <x:v>Payment retry, status timeline, and saved payment method support are missing.</x:v>
      </x:c>
      <x:c r="C31" s="6" t="str">
        <x:v>Add payment retry states, transaction status UI, and optional saved payment methods.</x:v>
      </x:c>
      <x:c r="D31" s="6" t="str">
        <x:v>High</x:v>
      </x:c>
      <x:c r="E31" s="6" t="str">
        <x:v>P1</x:v>
      </x:c>
      <x:c r="F31" s="6" t="str">
        <x:v>Frontend + Backend</x:v>
      </x:c>
      <x:c r="G31" s="6" t="str">
        <x:v>R1</x:v>
      </x:c>
      <x:c r="H31" s="6" t="str">
        <x:v>Open</x:v>
      </x:c>
    </x:row>
    <x:row r="32" ht="39" customHeight="1">
      <x:c r="A32" s="6" t="str">
        <x:v>Order History</x:v>
      </x:c>
      <x:c r="B32" s="6" t="str">
        <x:v>Order tracking / shipment progress is missing.</x:v>
      </x:c>
      <x:c r="C32" s="6" t="str">
        <x:v>Add shipment tracking, carrier status, and delivery ETA views.</x:v>
      </x:c>
      <x:c r="D32" s="6" t="str">
        <x:v>High</x:v>
      </x:c>
      <x:c r="E32" s="6" t="str">
        <x:v>P1</x:v>
      </x:c>
      <x:c r="F32" s="6" t="str">
        <x:v>Frontend + Backend</x:v>
      </x:c>
      <x:c r="G32" s="6" t="str">
        <x:v>R1</x:v>
      </x:c>
      <x:c r="H32" s="6" t="str">
        <x:v>Open</x:v>
      </x:c>
    </x:row>
    <x:row r="33" ht="39" customHeight="1">
      <x:c r="A33" s="6" t="str">
        <x:v>Order History</x:v>
      </x:c>
      <x:c r="B33" s="6" t="str">
        <x:v>Order cancellation and refund flow is missing.</x:v>
      </x:c>
      <x:c r="C33" s="6" t="str">
        <x:v>Add cancellation actions, reason capture, and refund state handling.</x:v>
      </x:c>
      <x:c r="D33" s="6" t="str">
        <x:v>High</x:v>
      </x:c>
      <x:c r="E33" s="6" t="str">
        <x:v>P1</x:v>
      </x:c>
      <x:c r="F33" s="6" t="str">
        <x:v>Frontend + Backend</x:v>
      </x:c>
      <x:c r="G33" s="6" t="str">
        <x:v>R1</x:v>
      </x:c>
      <x:c r="H33" s="6" t="str">
        <x:v>Open</x:v>
      </x:c>
    </x:row>
    <x:row r="34" ht="39" customHeight="1">
      <x:c r="A34" s="6" t="str">
        <x:v>Order History</x:v>
      </x:c>
      <x:c r="B34" s="6" t="str">
        <x:v>Invoice download and reorder actions are missing.</x:v>
      </x:c>
      <x:c r="C34" s="6" t="str">
        <x:v>Add invoice PDF download and quick reorder buttons.</x:v>
      </x:c>
      <x:c r="D34" s="6" t="str">
        <x:v>Medium</x:v>
      </x:c>
      <x:c r="E34" s="6" t="str">
        <x:v>P2</x:v>
      </x:c>
      <x:c r="F34" s="6" t="str">
        <x:v>Frontend + Backend</x:v>
      </x:c>
      <x:c r="G34" s="6" t="str">
        <x:v>R2</x:v>
      </x:c>
      <x:c r="H34" s="6" t="str">
        <x:v>Open</x:v>
      </x:c>
    </x:row>
    <x:row r="35" ht="39" customHeight="1">
      <x:c r="A35" s="6" t="str">
        <x:v>Admin Dashboard</x:v>
      </x:c>
      <x:c r="B35" s="6" t="str">
        <x:v>Admin authorization is enforced largely on the client side and needs stronger server-side role enforcement.</x:v>
      </x:c>
      <x:c r="C35" s="6" t="str">
        <x:v>Enforce admin permissions in the backend for all admin APIs and routes.</x:v>
      </x:c>
      <x:c r="D35" s="6" t="str">
        <x:v>Critical</x:v>
      </x:c>
      <x:c r="E35" s="6" t="str">
        <x:v>P0</x:v>
      </x:c>
      <x:c r="F35" s="6" t="str">
        <x:v>Backend + Security</x:v>
      </x:c>
      <x:c r="G35" s="6" t="str">
        <x:v>R1 - Hotfix</x:v>
      </x:c>
      <x:c r="H35" s="6" t="str">
        <x:v>Open</x:v>
      </x:c>
    </x:row>
    <x:row r="36" ht="39" customHeight="1">
      <x:c r="A36" s="6" t="str">
        <x:v>Admin Dashboard</x:v>
      </x:c>
      <x:c r="B36" s="6" t="str">
        <x:v>Sales analytics dashboard is missing.</x:v>
      </x:c>
      <x:c r="C36" s="6" t="str">
        <x:v>Add revenue, order volume, conversion, and stock analytics dashboards.</x:v>
      </x:c>
      <x:c r="D36" s="6" t="str">
        <x:v>High</x:v>
      </x:c>
      <x:c r="E36" s="6" t="str">
        <x:v>P1</x:v>
      </x:c>
      <x:c r="F36" s="6" t="str">
        <x:v>Backend + Frontend</x:v>
      </x:c>
      <x:c r="G36" s="6" t="str">
        <x:v>R1</x:v>
      </x:c>
      <x:c r="H36" s="6" t="str">
        <x:v>Open</x:v>
      </x:c>
    </x:row>
    <x:row r="37" ht="39" customHeight="1">
      <x:c r="A37" s="6" t="str">
        <x:v>Admin Dashboard</x:v>
      </x:c>
      <x:c r="B37" s="6" t="str">
        <x:v>Order, customer, coupon, and banner management screens are missing.</x:v>
      </x:c>
      <x:c r="C37" s="6" t="str">
        <x:v>Expand admin tools beyond catalog editing to include business operations management.</x:v>
      </x:c>
      <x:c r="D37" s="6" t="str">
        <x:v>High</x:v>
      </x:c>
      <x:c r="E37" s="6" t="str">
        <x:v>P1</x:v>
      </x:c>
      <x:c r="F37" s="6" t="str">
        <x:v>Backend + Frontend</x:v>
      </x:c>
      <x:c r="G37" s="6" t="str">
        <x:v>R1</x:v>
      </x:c>
      <x:c r="H37" s="6" t="str">
        <x:v>Open</x:v>
      </x:c>
    </x:row>
    <x:row r="38" ht="39" customHeight="1">
      <x:c r="A38" s="6" t="str">
        <x:v>Global UI/UX</x:v>
      </x:c>
      <x:c r="B38" s="6" t="str">
        <x:v>Empty-state screens are not standardized across all modules.</x:v>
      </x:c>
      <x:c r="C38" s="6" t="str">
        <x:v>Introduce consistent empty-state components with clear primary actions.</x:v>
      </x:c>
      <x:c r="D38" s="6" t="str">
        <x:v>Medium</x:v>
      </x:c>
      <x:c r="E38" s="6" t="str">
        <x:v>P2</x:v>
      </x:c>
      <x:c r="F38" s="6" t="str">
        <x:v>Frontend + Design</x:v>
      </x:c>
      <x:c r="G38" s="6" t="str">
        <x:v>R2</x:v>
      </x:c>
      <x:c r="H38" s="6" t="str">
        <x:v>Open</x:v>
      </x:c>
    </x:row>
    <x:row r="39" ht="39" customHeight="1">
      <x:c r="A39" s="6" t="str">
        <x:v>Global UI/UX</x:v>
      </x:c>
      <x:c r="B39" s="6" t="str">
        <x:v>Loading indicators and skeleton states are inconsistent across the application.</x:v>
      </x:c>
      <x:c r="C39" s="6" t="str">
        <x:v>Standardize loading, retry, and skeleton states for list-heavy and detail views.</x:v>
      </x:c>
      <x:c r="D39" s="6" t="str">
        <x:v>Medium</x:v>
      </x:c>
      <x:c r="E39" s="6" t="str">
        <x:v>P2</x:v>
      </x:c>
      <x:c r="F39" s="6" t="str">
        <x:v>Frontend</x:v>
      </x:c>
      <x:c r="G39" s="6" t="str">
        <x:v>R2</x:v>
      </x:c>
      <x:c r="H39" s="6" t="str">
        <x:v>Open</x:v>
      </x:c>
    </x:row>
    <x:row r="40" ht="39" customHeight="1">
      <x:c r="A40" s="6" t="str">
        <x:v>Responsive Design</x:v>
      </x:c>
      <x:c r="B40" s="6" t="str">
        <x:v>Table-heavy views need stronger mobile layouts and horizontal overflow handling.</x:v>
      </x:c>
      <x:c r="C40" s="6" t="str">
        <x:v>Add responsive table stacking, sticky actions, and breakpoint-specific layouts.</x:v>
      </x:c>
      <x:c r="D40" s="6" t="str">
        <x:v>Medium</x:v>
      </x:c>
      <x:c r="E40" s="6" t="str">
        <x:v>P2</x:v>
      </x:c>
      <x:c r="F40" s="6" t="str">
        <x:v>Frontend + Design</x:v>
      </x:c>
      <x:c r="G40" s="6" t="str">
        <x:v>R2</x:v>
      </x:c>
      <x:c r="H40" s="6" t="str">
        <x:v>Open</x:v>
      </x:c>
    </x:row>
    <x:row r="41" ht="39" customHeight="1">
      <x:c r="A41" s="6" t="str">
        <x:v>Accessibility</x:v>
      </x:c>
      <x:c r="B41" s="6" t="str">
        <x:v>Modal and keyboard interactions need stronger focus management.</x:v>
      </x:c>
      <x:c r="C41" s="6" t="str">
        <x:v>Add focus trap, Escape-to-close, and improved keyboard navigation for dialogs.</x:v>
      </x:c>
      <x:c r="D41" s="6" t="str">
        <x:v>Medium</x:v>
      </x:c>
      <x:c r="E41" s="6" t="str">
        <x:v>P2</x:v>
      </x:c>
      <x:c r="F41" s="6" t="str">
        <x:v>Frontend + QA</x:v>
      </x:c>
      <x:c r="G41" s="6" t="str">
        <x:v>R2</x:v>
      </x:c>
      <x:c r="H41" s="6" t="str">
        <x:v>Open</x:v>
      </x:c>
    </x:row>
    <x:row r="42" ht="39" customHeight="1">
      <x:c r="A42" s="6" t="str">
        <x:v>Performance</x:v>
      </x:c>
      <x:c r="B42" s="6" t="str">
        <x:v>Large collections have no virtualization or server-side pagination strategy.</x:v>
      </x:c>
      <x:c r="C42" s="6" t="str">
        <x:v>Use server-side pagination or list virtualization for larger datasets.</x:v>
      </x:c>
      <x:c r="D42" s="6" t="str">
        <x:v>Medium</x:v>
      </x:c>
      <x:c r="E42" s="6" t="str">
        <x:v>P2</x:v>
      </x:c>
      <x:c r="F42" s="6" t="str">
        <x:v>Frontend + Backend</x:v>
      </x:c>
      <x:c r="G42" s="6" t="str">
        <x:v>R2</x:v>
      </x:c>
      <x:c r="H42" s="6" t="str">
        <x:v>Open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4ee4f4445f44e0f"/>
  </x:tableParts>
</x:worksheet>
</file>